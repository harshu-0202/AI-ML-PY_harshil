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9da6379c812324/Documents/Custom Office Templates/"/>
    </mc:Choice>
  </mc:AlternateContent>
  <xr:revisionPtr revIDLastSave="0" documentId="8_{CCC56220-978A-4124-B640-1E3043F5DF82}" xr6:coauthVersionLast="47" xr6:coauthVersionMax="47" xr10:uidLastSave="{00000000-0000-0000-0000-000000000000}"/>
  <bookViews>
    <workbookView xWindow="-108" yWindow="-108" windowWidth="23256" windowHeight="13176" activeTab="2" xr2:uid="{9124979E-D2CE-4F10-B285-43B8B62304A4}"/>
  </bookViews>
  <sheets>
    <sheet name="student grade" sheetId="15" r:id="rId1"/>
    <sheet name="sales data" sheetId="16" r:id="rId2"/>
    <sheet name="employee data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6" l="1" a="1"/>
  <c r="J2" i="16" s="1"/>
  <c r="G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D25" i="15"/>
  <c r="A25" i="15"/>
  <c r="K2" i="15" a="1"/>
  <c r="K2" i="15" s="1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" i="17"/>
  <c r="I3" i="17"/>
  <c r="I3" i="16"/>
  <c r="J2" i="15"/>
  <c r="H3" i="15"/>
  <c r="I3" i="15" s="1" a="1"/>
  <c r="I3" i="15" s="1"/>
  <c r="H4" i="15"/>
  <c r="I4" i="15" s="1" a="1"/>
  <c r="I4" i="15" s="1"/>
  <c r="H5" i="15"/>
  <c r="I5" i="15" s="1" a="1"/>
  <c r="I5" i="15" s="1"/>
  <c r="H6" i="15"/>
  <c r="I6" i="15" s="1" a="1"/>
  <c r="I6" i="15" s="1"/>
  <c r="H7" i="15"/>
  <c r="I7" i="15" s="1" a="1"/>
  <c r="I7" i="15" s="1"/>
  <c r="H8" i="15"/>
  <c r="I8" i="15" s="1" a="1"/>
  <c r="I8" i="15" s="1"/>
  <c r="H9" i="15"/>
  <c r="I9" i="15" s="1" a="1"/>
  <c r="I9" i="15" s="1"/>
  <c r="H10" i="15"/>
  <c r="I10" i="15" s="1" a="1"/>
  <c r="I10" i="15" s="1"/>
  <c r="H11" i="15"/>
  <c r="I11" i="15" s="1" a="1"/>
  <c r="I11" i="15" s="1"/>
  <c r="H12" i="15"/>
  <c r="I12" i="15" s="1" a="1"/>
  <c r="I12" i="15" s="1"/>
  <c r="H13" i="15"/>
  <c r="I13" i="15" s="1" a="1"/>
  <c r="I13" i="15" s="1"/>
  <c r="H14" i="15"/>
  <c r="I14" i="15" s="1" a="1"/>
  <c r="I14" i="15" s="1"/>
  <c r="H15" i="15"/>
  <c r="I15" i="15" s="1" a="1"/>
  <c r="I15" i="15" s="1"/>
  <c r="H16" i="15"/>
  <c r="I16" i="15" s="1" a="1"/>
  <c r="I16" i="15" s="1"/>
  <c r="H17" i="15"/>
  <c r="I17" i="15" s="1" a="1"/>
  <c r="I17" i="15" s="1"/>
  <c r="H18" i="15"/>
  <c r="I18" i="15" s="1" a="1"/>
  <c r="I18" i="15" s="1"/>
  <c r="H19" i="15"/>
  <c r="I19" i="15" s="1" a="1"/>
  <c r="I19" i="15" s="1"/>
  <c r="H20" i="15"/>
  <c r="I20" i="15" s="1" a="1"/>
  <c r="I20" i="15" s="1"/>
  <c r="H21" i="15"/>
  <c r="I21" i="15" s="1" a="1"/>
  <c r="I21" i="15" s="1"/>
  <c r="H2" i="15"/>
  <c r="I2" i="15" s="1" a="1"/>
  <c r="I2" i="15" s="1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<sst xmlns="http://schemas.openxmlformats.org/spreadsheetml/2006/main" count="156" uniqueCount="108">
  <si>
    <t>Math</t>
  </si>
  <si>
    <t>Science</t>
  </si>
  <si>
    <t>Grade</t>
  </si>
  <si>
    <t>Name</t>
  </si>
  <si>
    <t>English</t>
  </si>
  <si>
    <t>Student ID</t>
  </si>
  <si>
    <t>Enrollment Date</t>
  </si>
  <si>
    <t>Total Score</t>
  </si>
  <si>
    <t>Average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</si>
  <si>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</si>
  <si>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</si>
  <si>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</si>
  <si>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</si>
  <si>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</si>
  <si>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</si>
  <si>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</si>
  <si>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</si>
  <si>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</si>
  <si>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</si>
  <si>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</si>
  <si>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</si>
  <si>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</si>
  <si>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</si>
  <si>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16</t>
  </si>
  <si>
    <t>Student 17</t>
  </si>
  <si>
    <t>Student 18</t>
  </si>
  <si>
    <t>Student 19</t>
  </si>
  <si>
    <t>Student 20</t>
  </si>
  <si>
    <t>countifs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</si>
  <si>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</si>
  <si>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</si>
  <si>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</si>
  <si>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</si>
  <si>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</si>
  <si>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</si>
  <si>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</si>
  <si>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</si>
  <si>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</si>
  <si>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</si>
  <si>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</si>
  <si>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</si>
  <si>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</si>
  <si>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</si>
  <si>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</si>
  <si>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</si>
  <si>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</si>
  <si>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</si>
  <si>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</si>
  <si>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</si>
  <si>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</si>
  <si>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</si>
  <si>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</si>
  <si>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</si>
  <si>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</si>
  <si>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</si>
  <si>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</si>
  <si>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</si>
  <si>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</si>
  <si>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</si>
  <si>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</si>
  <si>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</si>
  <si>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</si>
  <si>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</si>
  <si>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</si>
  <si>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vlookup</t>
  </si>
  <si>
    <t>sales id</t>
  </si>
  <si>
    <t>amount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</si>
  <si>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</si>
  <si>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</si>
  <si>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</si>
  <si>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</si>
  <si>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</si>
  <si>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</si>
  <si>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</si>
  <si>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</si>
  <si>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</si>
  <si>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</si>
  <si>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</si>
  <si>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</si>
  <si>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</si>
  <si>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</si>
  <si>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</si>
  <si>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</si>
  <si>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</si>
  <si>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</si>
  <si>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</si>
  <si>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</si>
  <si>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</si>
  <si>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</si>
  <si>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</si>
  <si>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</si>
  <si>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</si>
  <si>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</si>
  <si>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</si>
  <si>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</si>
  <si>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xlookup</t>
  </si>
  <si>
    <t>name</t>
  </si>
  <si>
    <t>salary</t>
  </si>
  <si>
    <t>employee 3</t>
  </si>
  <si>
    <t>joining year</t>
  </si>
  <si>
    <t>joinig month</t>
  </si>
  <si>
    <t>filter</t>
  </si>
  <si>
    <t>Student 15</t>
  </si>
  <si>
    <t>avg math marks</t>
  </si>
  <si>
    <t>student id</t>
  </si>
  <si>
    <t>enrollment date</t>
  </si>
  <si>
    <t>discount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</si>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</sst>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9" xfId="0" applyBorder="1"/>
    <xf numFmtId="0" fontId="0" fillId="2" borderId="1" xfId="0" applyFill="1" applyBorder="1"/>
    <xf numFmtId="2" fontId="1" fillId="0" borderId="1" xfId="0" applyNumberFormat="1" applyFont="1" applyBorder="1"/>
    <xf numFmtId="14" fontId="0" fillId="0" borderId="1" xfId="0" applyNumberFormat="1" applyBorder="1"/>
    <xf numFmtId="0" fontId="0" fillId="0" borderId="8" xfId="0" applyBorder="1"/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4" borderId="1" xfId="0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8AE"/>
      <color rgb="FFFDF0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26F5-DF97-415B-A5ED-06BC5F80E3CF}">
  <dimension ref="A1:P25"/>
  <sheetViews>
    <sheetView zoomScaleNormal="100" workbookViewId="0">
      <selection activeCell="C24" sqref="C24:D24"/>
    </sheetView>
  </sheetViews>
  <sheetFormatPr defaultRowHeight="14.4" x14ac:dyDescent="0.3"/>
  <cols>
    <col min="1" max="1" width="17.77734375" customWidth="1"/>
    <col min="2" max="2" width="12.44140625" customWidth="1"/>
    <col min="3" max="3" width="9.33203125" bestFit="1" customWidth="1"/>
    <col min="4" max="4" width="13.88671875" bestFit="1" customWidth="1"/>
    <col min="6" max="6" width="25" customWidth="1"/>
    <col min="7" max="7" width="15" bestFit="1" customWidth="1"/>
    <col min="8" max="8" width="11.21875" bestFit="1" customWidth="1"/>
    <col min="9" max="9" width="8.77734375" customWidth="1"/>
    <col min="10" max="10" width="11" bestFit="1" customWidth="1"/>
    <col min="11" max="11" width="14.21875" customWidth="1"/>
    <col min="12" max="12" width="39.44140625" customWidth="1"/>
  </cols>
  <sheetData>
    <row r="1" spans="1:16" ht="15" thickBot="1" x14ac:dyDescent="0.35">
      <c r="A1" s="18" t="s">
        <v>5</v>
      </c>
      <c r="B1" s="14" t="s">
        <v>3</v>
      </c>
      <c r="C1" s="14" t="s">
        <v>0</v>
      </c>
      <c r="D1" s="14" t="s">
        <v>1</v>
      </c>
      <c r="E1" s="14" t="s">
        <v>4</v>
      </c>
      <c r="F1" s="15" t="s">
        <v>6</v>
      </c>
      <c r="G1" s="16" t="s">
        <v>7</v>
      </c>
      <c r="H1" s="16" t="s">
        <v>8</v>
      </c>
      <c r="I1" s="16" t="s">
        <v>2</v>
      </c>
      <c r="J1" s="16" t="s">
        <v>28</v>
      </c>
      <c r="K1" s="17" t="s">
        <v>101</v>
      </c>
      <c r="L1" s="17"/>
      <c r="M1" s="17"/>
      <c r="N1" s="17"/>
      <c r="O1" s="17"/>
      <c r="P1" s="17"/>
    </row>
    <row r="2" spans="1:16" ht="15" thickBot="1" x14ac:dyDescent="0.35">
      <c r="A2" s="2">
        <v>1001</v>
      </c>
      <c r="B2" s="3" t="s">
        <v>9</v>
      </c>
      <c r="C2" s="3">
        <v>61</v>
      </c>
      <c r="D2" s="3">
        <v>48</v>
      </c>
      <c r="E2" s="3">
        <v>76</v>
      </c>
      <c r="F2" s="4">
        <v>43101</v>
      </c>
      <c r="G2" s="5">
        <f>SUM(C2:E2)</f>
        <v>185</v>
      </c>
      <c r="H2" s="5">
        <f>AVERAGE(C2:E2)</f>
        <v>61.666666666666664</v>
      </c>
      <c r="I2" s="1" t="str" cm="1">
        <f t="array" ref="I2">_xlfn.IFS(H2&gt;80,"a",H2&gt;70,"b",H2&gt;60,"c",H2&gt;50,"d")</f>
        <v>c</v>
      </c>
      <c r="J2" s="1">
        <f>COUNTIFS(C2:C21,"&gt;60")</f>
        <v>19</v>
      </c>
      <c r="K2" s="8" cm="1">
        <f t="array" ref="K2:P11">_xlfn._xlws.FILTER(A2:F21,C2:C21&gt;80, "No student scored above 80 in all subjects")</f>
        <v>1003</v>
      </c>
      <c r="L2" s="8" t="str">
        <v>Student 3</v>
      </c>
      <c r="M2" s="8">
        <v>97</v>
      </c>
      <c r="N2" s="8">
        <v>60</v>
      </c>
      <c r="O2" s="8">
        <v>51</v>
      </c>
      <c r="P2" s="8">
        <v>43461</v>
      </c>
    </row>
    <row r="3" spans="1:16" ht="15" thickBot="1" x14ac:dyDescent="0.35">
      <c r="A3" s="2">
        <v>1002</v>
      </c>
      <c r="B3" s="3" t="s">
        <v>10</v>
      </c>
      <c r="C3" s="3">
        <v>78</v>
      </c>
      <c r="D3" s="3">
        <v>76</v>
      </c>
      <c r="E3" s="3">
        <v>70</v>
      </c>
      <c r="F3" s="4">
        <v>43281</v>
      </c>
      <c r="G3" s="5">
        <f t="shared" ref="G3:G21" si="0">SUM(C3:E3)</f>
        <v>224</v>
      </c>
      <c r="H3" s="5">
        <f t="shared" ref="H3:H21" si="1">AVERAGE(C3:E3)</f>
        <v>74.666666666666671</v>
      </c>
      <c r="I3" s="1" t="str" cm="1">
        <f t="array" ref="I3">_xlfn.IFS(H3&gt;80,"a",H3&gt;70,"b",H3&gt;60,"c",H3&gt;50,"d")</f>
        <v>b</v>
      </c>
      <c r="J3" s="6"/>
      <c r="K3" s="8">
        <v>1008</v>
      </c>
      <c r="L3" s="8" t="str">
        <v>Student 8</v>
      </c>
      <c r="M3" s="8">
        <v>94</v>
      </c>
      <c r="N3" s="8">
        <v>67</v>
      </c>
      <c r="O3" s="8">
        <v>64</v>
      </c>
      <c r="P3" s="8">
        <v>44361</v>
      </c>
    </row>
    <row r="4" spans="1:16" ht="15" thickBot="1" x14ac:dyDescent="0.35">
      <c r="A4" s="2">
        <v>1003</v>
      </c>
      <c r="B4" s="3" t="s">
        <v>11</v>
      </c>
      <c r="C4" s="3">
        <v>97</v>
      </c>
      <c r="D4" s="3">
        <v>60</v>
      </c>
      <c r="E4" s="3">
        <v>51</v>
      </c>
      <c r="F4" s="4">
        <v>43461</v>
      </c>
      <c r="G4" s="5">
        <f t="shared" si="0"/>
        <v>208</v>
      </c>
      <c r="H4" s="5">
        <f t="shared" si="1"/>
        <v>69.333333333333329</v>
      </c>
      <c r="I4" s="1" t="str" cm="1">
        <f t="array" ref="I4">_xlfn.IFS(H4&gt;80,"a",H4&gt;70,"b",H4&gt;60,"c",H4&gt;50,"d")</f>
        <v>c</v>
      </c>
      <c r="J4" s="6"/>
      <c r="K4" s="8">
        <v>1010</v>
      </c>
      <c r="L4" s="8" t="str">
        <v>Student 10</v>
      </c>
      <c r="M4" s="8">
        <v>98</v>
      </c>
      <c r="N4" s="8">
        <v>54</v>
      </c>
      <c r="O4" s="8">
        <v>58</v>
      </c>
      <c r="P4" s="8">
        <v>44721</v>
      </c>
    </row>
    <row r="5" spans="1:16" ht="15" thickBot="1" x14ac:dyDescent="0.35">
      <c r="A5" s="2">
        <v>1004</v>
      </c>
      <c r="B5" s="3" t="s">
        <v>12</v>
      </c>
      <c r="C5" s="3">
        <v>74</v>
      </c>
      <c r="D5" s="3">
        <v>55</v>
      </c>
      <c r="E5" s="3">
        <v>46</v>
      </c>
      <c r="F5" s="4">
        <v>43641</v>
      </c>
      <c r="G5" s="5">
        <f t="shared" si="0"/>
        <v>175</v>
      </c>
      <c r="H5" s="5">
        <f t="shared" si="1"/>
        <v>58.333333333333336</v>
      </c>
      <c r="I5" s="1" t="str" cm="1">
        <f t="array" ref="I5">_xlfn.IFS(H5&gt;80,"a",H5&gt;70,"b",H5&gt;60,"c",H5&gt;50,"d")</f>
        <v>d</v>
      </c>
      <c r="J5" s="6"/>
      <c r="K5" s="8">
        <v>1012</v>
      </c>
      <c r="L5" s="8" t="str">
        <v>Student 12</v>
      </c>
      <c r="M5" s="8">
        <v>85</v>
      </c>
      <c r="N5" s="8">
        <v>89</v>
      </c>
      <c r="O5" s="8">
        <v>79</v>
      </c>
      <c r="P5" s="8">
        <v>45081</v>
      </c>
    </row>
    <row r="6" spans="1:16" ht="15" thickBot="1" x14ac:dyDescent="0.35">
      <c r="A6" s="2">
        <v>1005</v>
      </c>
      <c r="B6" s="3" t="s">
        <v>13</v>
      </c>
      <c r="C6" s="3">
        <v>68</v>
      </c>
      <c r="D6" s="3">
        <v>74</v>
      </c>
      <c r="E6" s="3">
        <v>84</v>
      </c>
      <c r="F6" s="4">
        <v>43821</v>
      </c>
      <c r="G6" s="5">
        <f t="shared" si="0"/>
        <v>226</v>
      </c>
      <c r="H6" s="5">
        <f t="shared" si="1"/>
        <v>75.333333333333329</v>
      </c>
      <c r="I6" s="1" t="str" cm="1">
        <f t="array" ref="I6">_xlfn.IFS(H6&gt;80,"a",H6&gt;70,"b",H6&gt;60,"c",H6&gt;50,"d")</f>
        <v>b</v>
      </c>
      <c r="J6" s="6"/>
      <c r="K6" s="8">
        <v>1013</v>
      </c>
      <c r="L6" s="8" t="str">
        <v>Student 13</v>
      </c>
      <c r="M6" s="8">
        <v>98</v>
      </c>
      <c r="N6" s="8">
        <v>90</v>
      </c>
      <c r="O6" s="8">
        <v>97</v>
      </c>
      <c r="P6" s="8">
        <v>45261</v>
      </c>
    </row>
    <row r="7" spans="1:16" ht="15" thickBot="1" x14ac:dyDescent="0.35">
      <c r="A7" s="2">
        <v>1006</v>
      </c>
      <c r="B7" s="3" t="s">
        <v>14</v>
      </c>
      <c r="C7" s="3">
        <v>80</v>
      </c>
      <c r="D7" s="3">
        <v>70</v>
      </c>
      <c r="E7" s="3">
        <v>65</v>
      </c>
      <c r="F7" s="4">
        <v>44001</v>
      </c>
      <c r="G7" s="5">
        <f t="shared" si="0"/>
        <v>215</v>
      </c>
      <c r="H7" s="5">
        <f t="shared" si="1"/>
        <v>71.666666666666671</v>
      </c>
      <c r="I7" s="1" t="str" cm="1">
        <f t="array" ref="I7">_xlfn.IFS(H7&gt;80,"a",H7&gt;70,"b",H7&gt;60,"c",H7&gt;50,"d")</f>
        <v>b</v>
      </c>
      <c r="J7" s="6"/>
      <c r="K7" s="8">
        <v>1014</v>
      </c>
      <c r="L7" s="8" t="str">
        <v>Student 14</v>
      </c>
      <c r="M7" s="8">
        <v>93</v>
      </c>
      <c r="N7" s="8">
        <v>40</v>
      </c>
      <c r="O7" s="8">
        <v>44</v>
      </c>
      <c r="P7" s="8">
        <v>45441</v>
      </c>
    </row>
    <row r="8" spans="1:16" ht="15" thickBot="1" x14ac:dyDescent="0.35">
      <c r="A8" s="2">
        <v>1007</v>
      </c>
      <c r="B8" s="3" t="s">
        <v>15</v>
      </c>
      <c r="C8" s="3">
        <v>75</v>
      </c>
      <c r="D8" s="3">
        <v>47</v>
      </c>
      <c r="E8" s="3">
        <v>78</v>
      </c>
      <c r="F8" s="4">
        <v>44181</v>
      </c>
      <c r="G8" s="5">
        <f t="shared" si="0"/>
        <v>200</v>
      </c>
      <c r="H8" s="5">
        <f t="shared" si="1"/>
        <v>66.666666666666671</v>
      </c>
      <c r="I8" s="1" t="str" cm="1">
        <f t="array" ref="I8">_xlfn.IFS(H8&gt;80,"a",H8&gt;70,"b",H8&gt;60,"c",H8&gt;50,"d")</f>
        <v>c</v>
      </c>
      <c r="J8" s="6"/>
      <c r="K8" s="8">
        <v>1016</v>
      </c>
      <c r="L8" s="8" t="str">
        <v>Student 16</v>
      </c>
      <c r="M8" s="8">
        <v>98</v>
      </c>
      <c r="N8" s="8">
        <v>77</v>
      </c>
      <c r="O8" s="8">
        <v>60</v>
      </c>
      <c r="P8" s="8">
        <v>45801</v>
      </c>
    </row>
    <row r="9" spans="1:16" ht="15" thickBot="1" x14ac:dyDescent="0.35">
      <c r="A9" s="2">
        <v>1008</v>
      </c>
      <c r="B9" s="3" t="s">
        <v>16</v>
      </c>
      <c r="C9" s="3">
        <v>94</v>
      </c>
      <c r="D9" s="3">
        <v>67</v>
      </c>
      <c r="E9" s="3">
        <v>64</v>
      </c>
      <c r="F9" s="4">
        <v>44361</v>
      </c>
      <c r="G9" s="5">
        <f t="shared" si="0"/>
        <v>225</v>
      </c>
      <c r="H9" s="5">
        <f t="shared" si="1"/>
        <v>75</v>
      </c>
      <c r="I9" s="1" t="str" cm="1">
        <f t="array" ref="I9">_xlfn.IFS(H9&gt;80,"a",H9&gt;70,"b",H9&gt;60,"c",H9&gt;50,"d")</f>
        <v>b</v>
      </c>
      <c r="J9" s="6"/>
      <c r="K9" s="8">
        <v>1018</v>
      </c>
      <c r="L9" s="8" t="str">
        <v>Student 18</v>
      </c>
      <c r="M9" s="8">
        <v>82</v>
      </c>
      <c r="N9" s="8">
        <v>48</v>
      </c>
      <c r="O9" s="8">
        <v>79</v>
      </c>
      <c r="P9" s="8">
        <v>46161</v>
      </c>
    </row>
    <row r="10" spans="1:16" ht="15" thickBot="1" x14ac:dyDescent="0.35">
      <c r="A10" s="2">
        <v>1009</v>
      </c>
      <c r="B10" s="3" t="s">
        <v>17</v>
      </c>
      <c r="C10" s="3">
        <v>41</v>
      </c>
      <c r="D10" s="3">
        <v>75</v>
      </c>
      <c r="E10" s="3">
        <v>56</v>
      </c>
      <c r="F10" s="4">
        <v>44541</v>
      </c>
      <c r="G10" s="5">
        <f t="shared" si="0"/>
        <v>172</v>
      </c>
      <c r="H10" s="5">
        <f t="shared" si="1"/>
        <v>57.333333333333336</v>
      </c>
      <c r="I10" s="1" t="str" cm="1">
        <f t="array" ref="I10">_xlfn.IFS(H10&gt;80,"a",H10&gt;70,"b",H10&gt;60,"c",H10&gt;50,"d")</f>
        <v>d</v>
      </c>
      <c r="J10" s="6"/>
      <c r="K10" s="8">
        <v>1019</v>
      </c>
      <c r="L10" s="8" t="str">
        <v>Student 19</v>
      </c>
      <c r="M10" s="8">
        <v>90</v>
      </c>
      <c r="N10" s="8">
        <v>78</v>
      </c>
      <c r="O10" s="8">
        <v>60</v>
      </c>
      <c r="P10" s="8">
        <v>46341</v>
      </c>
    </row>
    <row r="11" spans="1:16" ht="15" thickBot="1" x14ac:dyDescent="0.35">
      <c r="A11" s="2">
        <v>1010</v>
      </c>
      <c r="B11" s="3" t="s">
        <v>18</v>
      </c>
      <c r="C11" s="3">
        <v>98</v>
      </c>
      <c r="D11" s="3">
        <v>54</v>
      </c>
      <c r="E11" s="3">
        <v>58</v>
      </c>
      <c r="F11" s="4">
        <v>44721</v>
      </c>
      <c r="G11" s="5">
        <f t="shared" si="0"/>
        <v>210</v>
      </c>
      <c r="H11" s="5">
        <f t="shared" si="1"/>
        <v>70</v>
      </c>
      <c r="I11" s="1" t="str" cm="1">
        <f t="array" ref="I11">_xlfn.IFS(H11&gt;80,"a",H11&gt;70,"b",H11&gt;60,"c",H11&gt;50,"d")</f>
        <v>c</v>
      </c>
      <c r="J11" s="6"/>
      <c r="K11" s="8">
        <v>1020</v>
      </c>
      <c r="L11" s="8" t="str">
        <v>Student 20</v>
      </c>
      <c r="M11" s="8">
        <v>83</v>
      </c>
      <c r="N11" s="8">
        <v>92</v>
      </c>
      <c r="O11" s="8">
        <v>55</v>
      </c>
      <c r="P11" s="8">
        <v>46521</v>
      </c>
    </row>
    <row r="12" spans="1:16" ht="15" thickBot="1" x14ac:dyDescent="0.35">
      <c r="A12" s="2">
        <v>1011</v>
      </c>
      <c r="B12" s="3" t="s">
        <v>19</v>
      </c>
      <c r="C12" s="3">
        <v>73</v>
      </c>
      <c r="D12" s="3">
        <v>79</v>
      </c>
      <c r="E12" s="3">
        <v>53</v>
      </c>
      <c r="F12" s="4">
        <v>44901</v>
      </c>
      <c r="G12" s="5">
        <f t="shared" si="0"/>
        <v>205</v>
      </c>
      <c r="H12" s="5">
        <f t="shared" si="1"/>
        <v>68.333333333333329</v>
      </c>
      <c r="I12" s="1" t="str" cm="1">
        <f t="array" ref="I12">_xlfn.IFS(H12&gt;80,"a",H12&gt;70,"b",H12&gt;60,"c",H12&gt;50,"d")</f>
        <v>c</v>
      </c>
      <c r="J12" s="6"/>
    </row>
    <row r="13" spans="1:16" ht="15" thickBot="1" x14ac:dyDescent="0.35">
      <c r="A13" s="2">
        <v>1012</v>
      </c>
      <c r="B13" s="3" t="s">
        <v>20</v>
      </c>
      <c r="C13" s="3">
        <v>85</v>
      </c>
      <c r="D13" s="3">
        <v>89</v>
      </c>
      <c r="E13" s="3">
        <v>79</v>
      </c>
      <c r="F13" s="4">
        <v>45081</v>
      </c>
      <c r="G13" s="5">
        <f t="shared" si="0"/>
        <v>253</v>
      </c>
      <c r="H13" s="5">
        <f t="shared" si="1"/>
        <v>84.333333333333329</v>
      </c>
      <c r="I13" s="1" t="str" cm="1">
        <f t="array" ref="I13">_xlfn.IFS(H13&gt;80,"a",H13&gt;70,"b",H13&gt;60,"c",H13&gt;50,"d")</f>
        <v>a</v>
      </c>
      <c r="J13" s="6"/>
    </row>
    <row r="14" spans="1:16" ht="15" thickBot="1" x14ac:dyDescent="0.35">
      <c r="A14" s="2">
        <v>1013</v>
      </c>
      <c r="B14" s="3" t="s">
        <v>21</v>
      </c>
      <c r="C14" s="3">
        <v>98</v>
      </c>
      <c r="D14" s="3">
        <v>90</v>
      </c>
      <c r="E14" s="3">
        <v>97</v>
      </c>
      <c r="F14" s="4">
        <v>45261</v>
      </c>
      <c r="G14" s="5">
        <f t="shared" si="0"/>
        <v>285</v>
      </c>
      <c r="H14" s="5">
        <f t="shared" si="1"/>
        <v>95</v>
      </c>
      <c r="I14" s="1" t="str" cm="1">
        <f t="array" ref="I14">_xlfn.IFS(H14&gt;80,"a",H14&gt;70,"b",H14&gt;60,"c",H14&gt;50,"d")</f>
        <v>a</v>
      </c>
      <c r="J14" s="6"/>
    </row>
    <row r="15" spans="1:16" ht="15" thickBot="1" x14ac:dyDescent="0.35">
      <c r="A15" s="2">
        <v>1014</v>
      </c>
      <c r="B15" s="3" t="s">
        <v>22</v>
      </c>
      <c r="C15" s="3">
        <v>93</v>
      </c>
      <c r="D15" s="3">
        <v>40</v>
      </c>
      <c r="E15" s="3">
        <v>44</v>
      </c>
      <c r="F15" s="4">
        <v>45441</v>
      </c>
      <c r="G15" s="5">
        <f t="shared" si="0"/>
        <v>177</v>
      </c>
      <c r="H15" s="5">
        <f t="shared" si="1"/>
        <v>59</v>
      </c>
      <c r="I15" s="1" t="str" cm="1">
        <f t="array" ref="I15">_xlfn.IFS(H15&gt;80,"a",H15&gt;70,"b",H15&gt;60,"c",H15&gt;50,"d")</f>
        <v>d</v>
      </c>
      <c r="J15" s="6"/>
    </row>
    <row r="16" spans="1:16" ht="15" thickBot="1" x14ac:dyDescent="0.35">
      <c r="A16" s="2">
        <v>1015</v>
      </c>
      <c r="B16" s="3" t="s">
        <v>102</v>
      </c>
      <c r="C16" s="3">
        <v>70</v>
      </c>
      <c r="D16" s="3">
        <v>51</v>
      </c>
      <c r="E16" s="3">
        <v>75</v>
      </c>
      <c r="F16" s="4">
        <v>45621</v>
      </c>
      <c r="G16" s="5">
        <f t="shared" si="0"/>
        <v>196</v>
      </c>
      <c r="H16" s="5">
        <f t="shared" si="1"/>
        <v>65.333333333333329</v>
      </c>
      <c r="I16" s="1" t="str" cm="1">
        <f t="array" ref="I16">_xlfn.IFS(H16&gt;80,"a",H16&gt;70,"b",H16&gt;60,"c",H16&gt;50,"d")</f>
        <v>c</v>
      </c>
      <c r="J16" s="6"/>
    </row>
    <row r="17" spans="1:10" ht="15" thickBot="1" x14ac:dyDescent="0.35">
      <c r="A17" s="2">
        <v>1016</v>
      </c>
      <c r="B17" s="3" t="s">
        <v>23</v>
      </c>
      <c r="C17" s="3">
        <v>98</v>
      </c>
      <c r="D17" s="3">
        <v>77</v>
      </c>
      <c r="E17" s="3">
        <v>60</v>
      </c>
      <c r="F17" s="4">
        <v>45801</v>
      </c>
      <c r="G17" s="5">
        <f t="shared" si="0"/>
        <v>235</v>
      </c>
      <c r="H17" s="5">
        <f t="shared" si="1"/>
        <v>78.333333333333329</v>
      </c>
      <c r="I17" s="1" t="str" cm="1">
        <f t="array" ref="I17">_xlfn.IFS(H17&gt;80,"a",H17&gt;70,"b",H17&gt;60,"c",H17&gt;50,"d")</f>
        <v>b</v>
      </c>
      <c r="J17" s="6"/>
    </row>
    <row r="18" spans="1:10" ht="15" thickBot="1" x14ac:dyDescent="0.35">
      <c r="A18" s="2">
        <v>1017</v>
      </c>
      <c r="B18" s="3" t="s">
        <v>24</v>
      </c>
      <c r="C18" s="3">
        <v>66</v>
      </c>
      <c r="D18" s="3">
        <v>59</v>
      </c>
      <c r="E18" s="3">
        <v>40</v>
      </c>
      <c r="F18" s="4">
        <v>45981</v>
      </c>
      <c r="G18" s="5">
        <f t="shared" si="0"/>
        <v>165</v>
      </c>
      <c r="H18" s="5">
        <f t="shared" si="1"/>
        <v>55</v>
      </c>
      <c r="I18" s="1" t="str" cm="1">
        <f t="array" ref="I18">_xlfn.IFS(H18&gt;80,"a",H18&gt;70,"b",H18&gt;60,"c",H18&gt;50,"d")</f>
        <v>d</v>
      </c>
      <c r="J18" s="6"/>
    </row>
    <row r="19" spans="1:10" ht="15" thickBot="1" x14ac:dyDescent="0.35">
      <c r="A19" s="2">
        <v>1018</v>
      </c>
      <c r="B19" s="3" t="s">
        <v>25</v>
      </c>
      <c r="C19" s="3">
        <v>82</v>
      </c>
      <c r="D19" s="3">
        <v>48</v>
      </c>
      <c r="E19" s="3">
        <v>79</v>
      </c>
      <c r="F19" s="4">
        <v>46161</v>
      </c>
      <c r="G19" s="5">
        <f t="shared" si="0"/>
        <v>209</v>
      </c>
      <c r="H19" s="5">
        <f t="shared" si="1"/>
        <v>69.666666666666671</v>
      </c>
      <c r="I19" s="1" t="str" cm="1">
        <f t="array" ref="I19">_xlfn.IFS(H19&gt;80,"a",H19&gt;70,"b",H19&gt;60,"c",H19&gt;50,"d")</f>
        <v>c</v>
      </c>
      <c r="J19" s="6"/>
    </row>
    <row r="20" spans="1:10" ht="15" thickBot="1" x14ac:dyDescent="0.35">
      <c r="A20" s="2">
        <v>1019</v>
      </c>
      <c r="B20" s="3" t="s">
        <v>26</v>
      </c>
      <c r="C20" s="3">
        <v>90</v>
      </c>
      <c r="D20" s="3">
        <v>78</v>
      </c>
      <c r="E20" s="3">
        <v>60</v>
      </c>
      <c r="F20" s="4">
        <v>46341</v>
      </c>
      <c r="G20" s="5">
        <f t="shared" si="0"/>
        <v>228</v>
      </c>
      <c r="H20" s="5">
        <f t="shared" si="1"/>
        <v>76</v>
      </c>
      <c r="I20" s="1" t="str" cm="1">
        <f t="array" ref="I20">_xlfn.IFS(H20&gt;80,"a",H20&gt;70,"b",H20&gt;60,"c",H20&gt;50,"d")</f>
        <v>b</v>
      </c>
      <c r="J20" s="6"/>
    </row>
    <row r="21" spans="1:10" ht="15" thickBot="1" x14ac:dyDescent="0.35">
      <c r="A21" s="2">
        <v>1020</v>
      </c>
      <c r="B21" s="3" t="s">
        <v>27</v>
      </c>
      <c r="C21" s="3">
        <v>83</v>
      </c>
      <c r="D21" s="3">
        <v>92</v>
      </c>
      <c r="E21" s="3">
        <v>55</v>
      </c>
      <c r="F21" s="4">
        <v>46521</v>
      </c>
      <c r="G21" s="5">
        <f t="shared" si="0"/>
        <v>230</v>
      </c>
      <c r="H21" s="5">
        <f t="shared" si="1"/>
        <v>76.666666666666671</v>
      </c>
      <c r="I21" s="1" t="str" cm="1">
        <f t="array" ref="I21">_xlfn.IFS(H21&gt;80,"a",H21&gt;70,"b",H21&gt;60,"c",H21&gt;50,"d")</f>
        <v>b</v>
      </c>
      <c r="J21" s="6"/>
    </row>
    <row r="24" spans="1:10" x14ac:dyDescent="0.3">
      <c r="A24" s="19" t="s">
        <v>103</v>
      </c>
      <c r="C24" s="20" t="s">
        <v>104</v>
      </c>
      <c r="D24" s="20" t="s">
        <v>105</v>
      </c>
    </row>
    <row r="25" spans="1:10" x14ac:dyDescent="0.3">
      <c r="A25" s="11">
        <f>AVERAGEIFS(C2:C21,C2:C21,"&gt;60")</f>
        <v>82.263157894736835</v>
      </c>
      <c r="C25" s="8">
        <v>1020</v>
      </c>
      <c r="D25" s="12">
        <f>VLOOKUP(C25,A2:F21,6,0)</f>
        <v>46521</v>
      </c>
    </row>
  </sheetData>
  <mergeCells count="1">
    <mergeCell ref="K1:P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8CCB-3235-46E7-B095-444D4F8C15BF}">
  <dimension ref="A1:J21"/>
  <sheetViews>
    <sheetView zoomScale="67" zoomScaleNormal="82" workbookViewId="0">
      <selection activeCell="J20" sqref="J20"/>
    </sheetView>
  </sheetViews>
  <sheetFormatPr defaultRowHeight="14.4" x14ac:dyDescent="0.3"/>
  <cols>
    <col min="4" max="4" width="9.77734375" bestFit="1" customWidth="1"/>
    <col min="5" max="5" width="11.33203125" bestFit="1" customWidth="1"/>
    <col min="6" max="6" width="15.33203125" bestFit="1" customWidth="1"/>
    <col min="7" max="7" width="10.21875" bestFit="1" customWidth="1"/>
  </cols>
  <sheetData>
    <row r="1" spans="1:10" ht="29.4" thickBot="1" x14ac:dyDescent="0.35">
      <c r="A1" s="21" t="s">
        <v>29</v>
      </c>
      <c r="B1" s="22" t="s">
        <v>30</v>
      </c>
      <c r="C1" s="22" t="s">
        <v>31</v>
      </c>
      <c r="D1" s="22" t="s">
        <v>32</v>
      </c>
      <c r="E1" s="22" t="s">
        <v>33</v>
      </c>
      <c r="F1" s="23" t="s">
        <v>34</v>
      </c>
      <c r="G1" s="24" t="s">
        <v>106</v>
      </c>
      <c r="H1" s="25" t="s">
        <v>64</v>
      </c>
      <c r="I1" s="25"/>
      <c r="J1" s="26" t="s">
        <v>107</v>
      </c>
    </row>
    <row r="2" spans="1:10" ht="15" thickBot="1" x14ac:dyDescent="0.35">
      <c r="A2" s="2">
        <v>2001</v>
      </c>
      <c r="B2" s="3" t="s">
        <v>35</v>
      </c>
      <c r="C2" s="3" t="s">
        <v>36</v>
      </c>
      <c r="D2" s="3" t="s">
        <v>37</v>
      </c>
      <c r="E2" s="7">
        <v>7048</v>
      </c>
      <c r="F2" s="4">
        <v>44927</v>
      </c>
      <c r="G2" s="13" t="str">
        <f>IF(E2&gt;30000,"20%",IF(E2&gt;15000,"10%","no discount"))</f>
        <v>no discount</v>
      </c>
      <c r="H2" s="8" t="s">
        <v>65</v>
      </c>
      <c r="I2" s="8" t="s">
        <v>66</v>
      </c>
      <c r="J2" s="8" cm="1">
        <f t="array" aca="1" ref="J2:J6" ca="1">OFFSET(E2,COUNT(E2:E21)-5,0,5,1)</f>
        <v>5277</v>
      </c>
    </row>
    <row r="3" spans="1:10" ht="15" thickBot="1" x14ac:dyDescent="0.35">
      <c r="A3" s="2">
        <v>2002</v>
      </c>
      <c r="B3" s="3" t="s">
        <v>38</v>
      </c>
      <c r="C3" s="3" t="s">
        <v>39</v>
      </c>
      <c r="D3" s="3" t="s">
        <v>40</v>
      </c>
      <c r="E3" s="7">
        <v>17428</v>
      </c>
      <c r="F3" s="4">
        <v>44942</v>
      </c>
      <c r="G3" s="13" t="str">
        <f t="shared" ref="G3:G21" si="0">IF(E3&gt;30000,"20%",IF(E3&gt;15000,"10%","no discount"))</f>
        <v>10%</v>
      </c>
      <c r="H3" s="8">
        <v>2010</v>
      </c>
      <c r="I3" s="8">
        <f>VLOOKUP(H3,A2:F21,5,0)</f>
        <v>35185</v>
      </c>
      <c r="J3" s="8">
        <f ca="1"/>
        <v>41871</v>
      </c>
    </row>
    <row r="4" spans="1:10" ht="15" thickBot="1" x14ac:dyDescent="0.35">
      <c r="A4" s="2">
        <v>2003</v>
      </c>
      <c r="B4" s="3" t="s">
        <v>41</v>
      </c>
      <c r="C4" s="3" t="s">
        <v>36</v>
      </c>
      <c r="D4" s="3" t="s">
        <v>42</v>
      </c>
      <c r="E4" s="7">
        <v>23672</v>
      </c>
      <c r="F4" s="4">
        <v>44957</v>
      </c>
      <c r="G4" s="8" t="str">
        <f t="shared" si="0"/>
        <v>10%</v>
      </c>
      <c r="J4" s="8">
        <f ca="1"/>
        <v>38161</v>
      </c>
    </row>
    <row r="5" spans="1:10" ht="15" thickBot="1" x14ac:dyDescent="0.35">
      <c r="A5" s="2">
        <v>2004</v>
      </c>
      <c r="B5" s="3" t="s">
        <v>38</v>
      </c>
      <c r="C5" s="3" t="s">
        <v>43</v>
      </c>
      <c r="D5" s="3" t="s">
        <v>44</v>
      </c>
      <c r="E5" s="7">
        <v>5264</v>
      </c>
      <c r="F5" s="4">
        <v>44972</v>
      </c>
      <c r="G5" s="8" t="str">
        <f t="shared" si="0"/>
        <v>no discount</v>
      </c>
      <c r="J5" s="8">
        <f ca="1"/>
        <v>30436</v>
      </c>
    </row>
    <row r="6" spans="1:10" ht="15" thickBot="1" x14ac:dyDescent="0.35">
      <c r="A6" s="2">
        <v>2005</v>
      </c>
      <c r="B6" s="3" t="s">
        <v>35</v>
      </c>
      <c r="C6" s="3" t="s">
        <v>45</v>
      </c>
      <c r="D6" s="3" t="s">
        <v>46</v>
      </c>
      <c r="E6" s="7">
        <v>43388</v>
      </c>
      <c r="F6" s="4">
        <v>44987</v>
      </c>
      <c r="G6" s="8" t="str">
        <f t="shared" si="0"/>
        <v>20%</v>
      </c>
      <c r="J6" s="8">
        <f ca="1"/>
        <v>33953</v>
      </c>
    </row>
    <row r="7" spans="1:10" ht="15" thickBot="1" x14ac:dyDescent="0.35">
      <c r="A7" s="2">
        <v>2006</v>
      </c>
      <c r="B7" s="3" t="s">
        <v>41</v>
      </c>
      <c r="C7" s="3" t="s">
        <v>45</v>
      </c>
      <c r="D7" s="3" t="s">
        <v>47</v>
      </c>
      <c r="E7" s="7">
        <v>19757</v>
      </c>
      <c r="F7" s="4">
        <v>45002</v>
      </c>
      <c r="G7" s="8" t="str">
        <f t="shared" si="0"/>
        <v>10%</v>
      </c>
    </row>
    <row r="8" spans="1:10" ht="15" thickBot="1" x14ac:dyDescent="0.35">
      <c r="A8" s="2">
        <v>2007</v>
      </c>
      <c r="B8" s="3" t="s">
        <v>41</v>
      </c>
      <c r="C8" s="3" t="s">
        <v>43</v>
      </c>
      <c r="D8" s="3" t="s">
        <v>48</v>
      </c>
      <c r="E8" s="7">
        <v>32058</v>
      </c>
      <c r="F8" s="4">
        <v>45017</v>
      </c>
      <c r="G8" s="8" t="str">
        <f t="shared" si="0"/>
        <v>20%</v>
      </c>
    </row>
    <row r="9" spans="1:10" ht="15" thickBot="1" x14ac:dyDescent="0.35">
      <c r="A9" s="2">
        <v>2008</v>
      </c>
      <c r="B9" s="3" t="s">
        <v>35</v>
      </c>
      <c r="C9" s="3" t="s">
        <v>43</v>
      </c>
      <c r="D9" s="3" t="s">
        <v>49</v>
      </c>
      <c r="E9" s="7">
        <v>46429</v>
      </c>
      <c r="F9" s="4">
        <v>45032</v>
      </c>
      <c r="G9" s="8" t="str">
        <f t="shared" si="0"/>
        <v>20%</v>
      </c>
    </row>
    <row r="10" spans="1:10" ht="15" thickBot="1" x14ac:dyDescent="0.35">
      <c r="A10" s="2">
        <v>2009</v>
      </c>
      <c r="B10" s="3" t="s">
        <v>38</v>
      </c>
      <c r="C10" s="3" t="s">
        <v>43</v>
      </c>
      <c r="D10" s="3" t="s">
        <v>50</v>
      </c>
      <c r="E10" s="7">
        <v>19746</v>
      </c>
      <c r="F10" s="4">
        <v>45047</v>
      </c>
      <c r="G10" s="8" t="str">
        <f t="shared" si="0"/>
        <v>10%</v>
      </c>
    </row>
    <row r="11" spans="1:10" ht="15" thickBot="1" x14ac:dyDescent="0.35">
      <c r="A11" s="2">
        <v>2010</v>
      </c>
      <c r="B11" s="3" t="s">
        <v>35</v>
      </c>
      <c r="C11" s="3" t="s">
        <v>36</v>
      </c>
      <c r="D11" s="3" t="s">
        <v>51</v>
      </c>
      <c r="E11" s="7">
        <v>35185</v>
      </c>
      <c r="F11" s="4">
        <v>45062</v>
      </c>
      <c r="G11" s="8" t="str">
        <f t="shared" si="0"/>
        <v>20%</v>
      </c>
    </row>
    <row r="12" spans="1:10" ht="15" thickBot="1" x14ac:dyDescent="0.35">
      <c r="A12" s="2">
        <v>2011</v>
      </c>
      <c r="B12" s="3" t="s">
        <v>35</v>
      </c>
      <c r="C12" s="3" t="s">
        <v>43</v>
      </c>
      <c r="D12" s="3" t="s">
        <v>52</v>
      </c>
      <c r="E12" s="7">
        <v>33920</v>
      </c>
      <c r="F12" s="4">
        <v>45077</v>
      </c>
      <c r="G12" s="8" t="str">
        <f t="shared" si="0"/>
        <v>20%</v>
      </c>
    </row>
    <row r="13" spans="1:10" ht="15" thickBot="1" x14ac:dyDescent="0.35">
      <c r="A13" s="2">
        <v>2012</v>
      </c>
      <c r="B13" s="3" t="s">
        <v>53</v>
      </c>
      <c r="C13" s="3" t="s">
        <v>45</v>
      </c>
      <c r="D13" s="3" t="s">
        <v>54</v>
      </c>
      <c r="E13" s="7">
        <v>35611</v>
      </c>
      <c r="F13" s="4">
        <v>45092</v>
      </c>
      <c r="G13" s="8" t="str">
        <f t="shared" si="0"/>
        <v>20%</v>
      </c>
    </row>
    <row r="14" spans="1:10" ht="15" thickBot="1" x14ac:dyDescent="0.35">
      <c r="A14" s="2">
        <v>2013</v>
      </c>
      <c r="B14" s="3" t="s">
        <v>55</v>
      </c>
      <c r="C14" s="3" t="s">
        <v>43</v>
      </c>
      <c r="D14" s="3" t="s">
        <v>56</v>
      </c>
      <c r="E14" s="7">
        <v>15560</v>
      </c>
      <c r="F14" s="4">
        <v>45107</v>
      </c>
      <c r="G14" s="8" t="str">
        <f t="shared" si="0"/>
        <v>10%</v>
      </c>
    </row>
    <row r="15" spans="1:10" ht="15" thickBot="1" x14ac:dyDescent="0.35">
      <c r="A15" s="2">
        <v>2014</v>
      </c>
      <c r="B15" s="3" t="s">
        <v>55</v>
      </c>
      <c r="C15" s="3" t="s">
        <v>36</v>
      </c>
      <c r="D15" s="3" t="s">
        <v>57</v>
      </c>
      <c r="E15" s="7">
        <v>7283</v>
      </c>
      <c r="F15" s="4">
        <v>45122</v>
      </c>
      <c r="G15" s="8" t="str">
        <f t="shared" si="0"/>
        <v>no discount</v>
      </c>
    </row>
    <row r="16" spans="1:10" ht="15" thickBot="1" x14ac:dyDescent="0.35">
      <c r="A16" s="2">
        <v>2015</v>
      </c>
      <c r="B16" s="3" t="s">
        <v>55</v>
      </c>
      <c r="C16" s="3" t="s">
        <v>43</v>
      </c>
      <c r="D16" s="3" t="s">
        <v>58</v>
      </c>
      <c r="E16" s="7">
        <v>15678</v>
      </c>
      <c r="F16" s="4">
        <v>45137</v>
      </c>
      <c r="G16" s="8" t="str">
        <f t="shared" si="0"/>
        <v>10%</v>
      </c>
    </row>
    <row r="17" spans="1:7" ht="15" thickBot="1" x14ac:dyDescent="0.35">
      <c r="A17" s="2">
        <v>2016</v>
      </c>
      <c r="B17" s="3" t="s">
        <v>41</v>
      </c>
      <c r="C17" s="3" t="s">
        <v>43</v>
      </c>
      <c r="D17" s="3" t="s">
        <v>59</v>
      </c>
      <c r="E17" s="7">
        <v>5277</v>
      </c>
      <c r="F17" s="4">
        <v>45152</v>
      </c>
      <c r="G17" s="8" t="str">
        <f t="shared" si="0"/>
        <v>no discount</v>
      </c>
    </row>
    <row r="18" spans="1:7" ht="15" thickBot="1" x14ac:dyDescent="0.35">
      <c r="A18" s="2">
        <v>2017</v>
      </c>
      <c r="B18" s="3" t="s">
        <v>53</v>
      </c>
      <c r="C18" s="3" t="s">
        <v>45</v>
      </c>
      <c r="D18" s="3" t="s">
        <v>60</v>
      </c>
      <c r="E18" s="7">
        <v>41871</v>
      </c>
      <c r="F18" s="4">
        <v>45167</v>
      </c>
      <c r="G18" s="8" t="str">
        <f t="shared" si="0"/>
        <v>20%</v>
      </c>
    </row>
    <row r="19" spans="1:7" ht="15" thickBot="1" x14ac:dyDescent="0.35">
      <c r="A19" s="2">
        <v>2018</v>
      </c>
      <c r="B19" s="3" t="s">
        <v>53</v>
      </c>
      <c r="C19" s="3" t="s">
        <v>39</v>
      </c>
      <c r="D19" s="3" t="s">
        <v>61</v>
      </c>
      <c r="E19" s="7">
        <v>38161</v>
      </c>
      <c r="F19" s="4">
        <v>45182</v>
      </c>
      <c r="G19" s="8" t="str">
        <f t="shared" si="0"/>
        <v>20%</v>
      </c>
    </row>
    <row r="20" spans="1:7" ht="15" thickBot="1" x14ac:dyDescent="0.35">
      <c r="A20" s="2">
        <v>2019</v>
      </c>
      <c r="B20" s="3" t="s">
        <v>41</v>
      </c>
      <c r="C20" s="3" t="s">
        <v>39</v>
      </c>
      <c r="D20" s="3" t="s">
        <v>62</v>
      </c>
      <c r="E20" s="7">
        <v>30436</v>
      </c>
      <c r="F20" s="4">
        <v>45197</v>
      </c>
      <c r="G20" s="8" t="str">
        <f t="shared" si="0"/>
        <v>20%</v>
      </c>
    </row>
    <row r="21" spans="1:7" ht="15" thickBot="1" x14ac:dyDescent="0.35">
      <c r="A21" s="2">
        <v>2020</v>
      </c>
      <c r="B21" s="3" t="s">
        <v>38</v>
      </c>
      <c r="C21" s="3" t="s">
        <v>39</v>
      </c>
      <c r="D21" s="3" t="s">
        <v>63</v>
      </c>
      <c r="E21" s="7">
        <v>33953</v>
      </c>
      <c r="F21" s="4">
        <v>45212</v>
      </c>
      <c r="G21" s="8" t="str">
        <f t="shared" si="0"/>
        <v>20%</v>
      </c>
    </row>
  </sheetData>
  <mergeCells count="1"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1A3B-0E1A-4D81-8E00-93ED0DBCDBF0}">
  <dimension ref="A1:I21"/>
  <sheetViews>
    <sheetView tabSelected="1" zoomScaleNormal="100" workbookViewId="0">
      <selection activeCell="I12" sqref="I12"/>
    </sheetView>
  </sheetViews>
  <sheetFormatPr defaultRowHeight="14.4" x14ac:dyDescent="0.3"/>
  <cols>
    <col min="1" max="1" width="10.77734375" customWidth="1"/>
    <col min="2" max="2" width="10.5546875" customWidth="1"/>
    <col min="3" max="3" width="8.109375" bestFit="1" customWidth="1"/>
    <col min="4" max="4" width="6.77734375" bestFit="1" customWidth="1"/>
    <col min="5" max="5" width="15.5546875" bestFit="1" customWidth="1"/>
    <col min="6" max="6" width="14" bestFit="1" customWidth="1"/>
    <col min="7" max="7" width="14.6640625" bestFit="1" customWidth="1"/>
    <col min="8" max="8" width="11" bestFit="1" customWidth="1"/>
    <col min="10" max="10" width="9.88671875" bestFit="1" customWidth="1"/>
    <col min="11" max="11" width="10.6640625" bestFit="1" customWidth="1"/>
  </cols>
  <sheetData>
    <row r="1" spans="1:9" ht="29.4" thickBot="1" x14ac:dyDescent="0.35">
      <c r="A1" s="21" t="s">
        <v>67</v>
      </c>
      <c r="B1" s="22" t="s">
        <v>3</v>
      </c>
      <c r="C1" s="22" t="s">
        <v>68</v>
      </c>
      <c r="D1" s="22" t="s">
        <v>69</v>
      </c>
      <c r="E1" s="23" t="s">
        <v>70</v>
      </c>
      <c r="F1" s="27" t="s">
        <v>99</v>
      </c>
      <c r="G1" s="27" t="s">
        <v>100</v>
      </c>
      <c r="H1" s="28" t="s">
        <v>95</v>
      </c>
      <c r="I1" s="25"/>
    </row>
    <row r="2" spans="1:9" ht="15" thickBot="1" x14ac:dyDescent="0.35">
      <c r="A2" s="2">
        <v>3001</v>
      </c>
      <c r="B2" s="3" t="s">
        <v>71</v>
      </c>
      <c r="C2" s="3" t="s">
        <v>72</v>
      </c>
      <c r="D2" s="3">
        <v>86766</v>
      </c>
      <c r="E2" s="4">
        <v>42005</v>
      </c>
      <c r="F2" s="10">
        <f t="shared" ref="F2:F21" si="0">YEAR(E2)</f>
        <v>2015</v>
      </c>
      <c r="G2" s="10">
        <f t="shared" ref="G2:G21" si="1">MONTH(E2)</f>
        <v>1</v>
      </c>
      <c r="H2" s="9" t="s">
        <v>96</v>
      </c>
      <c r="I2" s="8" t="s">
        <v>97</v>
      </c>
    </row>
    <row r="3" spans="1:9" ht="15" thickBot="1" x14ac:dyDescent="0.35">
      <c r="A3" s="2">
        <v>3002</v>
      </c>
      <c r="B3" s="3" t="s">
        <v>73</v>
      </c>
      <c r="C3" s="3" t="s">
        <v>72</v>
      </c>
      <c r="D3" s="3">
        <v>31943</v>
      </c>
      <c r="E3" s="4">
        <v>42255</v>
      </c>
      <c r="F3" s="10">
        <f t="shared" si="0"/>
        <v>2015</v>
      </c>
      <c r="G3" s="10">
        <f t="shared" si="1"/>
        <v>9</v>
      </c>
      <c r="H3" s="9" t="s">
        <v>98</v>
      </c>
      <c r="I3" s="8">
        <f>_xlfn.XLOOKUP(H3,B2:B21,D2:D21,"not avaible",0)</f>
        <v>63374</v>
      </c>
    </row>
    <row r="4" spans="1:9" ht="15" thickBot="1" x14ac:dyDescent="0.35">
      <c r="A4" s="2">
        <v>3003</v>
      </c>
      <c r="B4" s="3" t="s">
        <v>74</v>
      </c>
      <c r="C4" s="3" t="s">
        <v>75</v>
      </c>
      <c r="D4" s="3">
        <v>63374</v>
      </c>
      <c r="E4" s="4">
        <v>42505</v>
      </c>
      <c r="F4" s="10">
        <f t="shared" si="0"/>
        <v>2016</v>
      </c>
      <c r="G4" s="10">
        <f t="shared" si="1"/>
        <v>5</v>
      </c>
    </row>
    <row r="5" spans="1:9" ht="15" thickBot="1" x14ac:dyDescent="0.35">
      <c r="A5" s="2">
        <v>3004</v>
      </c>
      <c r="B5" s="3" t="s">
        <v>76</v>
      </c>
      <c r="C5" s="3" t="s">
        <v>72</v>
      </c>
      <c r="D5" s="3">
        <v>109972</v>
      </c>
      <c r="E5" s="4">
        <v>42755</v>
      </c>
      <c r="F5" s="10">
        <f t="shared" si="0"/>
        <v>2017</v>
      </c>
      <c r="G5" s="10">
        <f t="shared" si="1"/>
        <v>1</v>
      </c>
    </row>
    <row r="6" spans="1:9" ht="15" thickBot="1" x14ac:dyDescent="0.35">
      <c r="A6" s="2">
        <v>3005</v>
      </c>
      <c r="B6" s="3" t="s">
        <v>77</v>
      </c>
      <c r="C6" s="3" t="s">
        <v>78</v>
      </c>
      <c r="D6" s="3">
        <v>54149</v>
      </c>
      <c r="E6" s="4">
        <v>43005</v>
      </c>
      <c r="F6" s="10">
        <f t="shared" si="0"/>
        <v>2017</v>
      </c>
      <c r="G6" s="10">
        <f t="shared" si="1"/>
        <v>9</v>
      </c>
    </row>
    <row r="7" spans="1:9" ht="15" thickBot="1" x14ac:dyDescent="0.35">
      <c r="A7" s="2">
        <v>3006</v>
      </c>
      <c r="B7" s="3" t="s">
        <v>79</v>
      </c>
      <c r="C7" s="3" t="s">
        <v>78</v>
      </c>
      <c r="D7" s="3">
        <v>78689</v>
      </c>
      <c r="E7" s="4">
        <v>43255</v>
      </c>
      <c r="F7" s="10">
        <f t="shared" si="0"/>
        <v>2018</v>
      </c>
      <c r="G7" s="10">
        <f t="shared" si="1"/>
        <v>6</v>
      </c>
    </row>
    <row r="8" spans="1:9" ht="29.4" thickBot="1" x14ac:dyDescent="0.35">
      <c r="A8" s="2">
        <v>3007</v>
      </c>
      <c r="B8" s="3" t="s">
        <v>80</v>
      </c>
      <c r="C8" s="3" t="s">
        <v>81</v>
      </c>
      <c r="D8" s="3">
        <v>35960</v>
      </c>
      <c r="E8" s="4">
        <v>43505</v>
      </c>
      <c r="F8" s="10">
        <f t="shared" si="0"/>
        <v>2019</v>
      </c>
      <c r="G8" s="10">
        <f t="shared" si="1"/>
        <v>2</v>
      </c>
    </row>
    <row r="9" spans="1:9" ht="15" thickBot="1" x14ac:dyDescent="0.35">
      <c r="A9" s="2">
        <v>3008</v>
      </c>
      <c r="B9" s="3" t="s">
        <v>82</v>
      </c>
      <c r="C9" s="3" t="s">
        <v>78</v>
      </c>
      <c r="D9" s="3">
        <v>91659</v>
      </c>
      <c r="E9" s="4">
        <v>43755</v>
      </c>
      <c r="F9" s="10">
        <f t="shared" si="0"/>
        <v>2019</v>
      </c>
      <c r="G9" s="10">
        <f t="shared" si="1"/>
        <v>10</v>
      </c>
    </row>
    <row r="10" spans="1:9" ht="15" thickBot="1" x14ac:dyDescent="0.35">
      <c r="A10" s="2">
        <v>3009</v>
      </c>
      <c r="B10" s="3" t="s">
        <v>83</v>
      </c>
      <c r="C10" s="3" t="s">
        <v>78</v>
      </c>
      <c r="D10" s="3">
        <v>90423</v>
      </c>
      <c r="E10" s="4">
        <v>44005</v>
      </c>
      <c r="F10" s="10">
        <f t="shared" si="0"/>
        <v>2020</v>
      </c>
      <c r="G10" s="10">
        <f t="shared" si="1"/>
        <v>6</v>
      </c>
    </row>
    <row r="11" spans="1:9" ht="29.4" thickBot="1" x14ac:dyDescent="0.35">
      <c r="A11" s="2">
        <v>3010</v>
      </c>
      <c r="B11" s="3" t="s">
        <v>84</v>
      </c>
      <c r="C11" s="3" t="s">
        <v>75</v>
      </c>
      <c r="D11" s="3">
        <v>107877</v>
      </c>
      <c r="E11" s="4">
        <v>44255</v>
      </c>
      <c r="F11" s="10">
        <f t="shared" si="0"/>
        <v>2021</v>
      </c>
      <c r="G11" s="10">
        <f t="shared" si="1"/>
        <v>2</v>
      </c>
    </row>
    <row r="12" spans="1:9" ht="29.4" thickBot="1" x14ac:dyDescent="0.35">
      <c r="A12" s="2">
        <v>3011</v>
      </c>
      <c r="B12" s="3" t="s">
        <v>85</v>
      </c>
      <c r="C12" s="3" t="s">
        <v>72</v>
      </c>
      <c r="D12" s="3">
        <v>107634</v>
      </c>
      <c r="E12" s="4">
        <v>44505</v>
      </c>
      <c r="F12" s="10">
        <f t="shared" si="0"/>
        <v>2021</v>
      </c>
      <c r="G12" s="10">
        <f t="shared" si="1"/>
        <v>11</v>
      </c>
    </row>
    <row r="13" spans="1:9" ht="29.4" thickBot="1" x14ac:dyDescent="0.35">
      <c r="A13" s="2">
        <v>3012</v>
      </c>
      <c r="B13" s="3" t="s">
        <v>86</v>
      </c>
      <c r="C13" s="3" t="s">
        <v>72</v>
      </c>
      <c r="D13" s="3">
        <v>35226</v>
      </c>
      <c r="E13" s="4">
        <v>44755</v>
      </c>
      <c r="F13" s="10">
        <f t="shared" si="0"/>
        <v>2022</v>
      </c>
      <c r="G13" s="10">
        <f t="shared" si="1"/>
        <v>7</v>
      </c>
    </row>
    <row r="14" spans="1:9" ht="29.4" thickBot="1" x14ac:dyDescent="0.35">
      <c r="A14" s="2">
        <v>3013</v>
      </c>
      <c r="B14" s="3" t="s">
        <v>87</v>
      </c>
      <c r="C14" s="3" t="s">
        <v>75</v>
      </c>
      <c r="D14" s="3">
        <v>40872</v>
      </c>
      <c r="E14" s="4">
        <v>45005</v>
      </c>
      <c r="F14" s="10">
        <f t="shared" si="0"/>
        <v>2023</v>
      </c>
      <c r="G14" s="10">
        <f t="shared" si="1"/>
        <v>3</v>
      </c>
    </row>
    <row r="15" spans="1:9" ht="29.4" thickBot="1" x14ac:dyDescent="0.35">
      <c r="A15" s="2">
        <v>3014</v>
      </c>
      <c r="B15" s="3" t="s">
        <v>88</v>
      </c>
      <c r="C15" s="3" t="s">
        <v>75</v>
      </c>
      <c r="D15" s="3">
        <v>55378</v>
      </c>
      <c r="E15" s="4">
        <v>45255</v>
      </c>
      <c r="F15" s="10">
        <f t="shared" si="0"/>
        <v>2023</v>
      </c>
      <c r="G15" s="10">
        <f t="shared" si="1"/>
        <v>11</v>
      </c>
    </row>
    <row r="16" spans="1:9" ht="29.4" thickBot="1" x14ac:dyDescent="0.35">
      <c r="A16" s="2">
        <v>3015</v>
      </c>
      <c r="B16" s="3" t="s">
        <v>89</v>
      </c>
      <c r="C16" s="3" t="s">
        <v>75</v>
      </c>
      <c r="D16" s="3">
        <v>63297</v>
      </c>
      <c r="E16" s="4">
        <v>45505</v>
      </c>
      <c r="F16" s="10">
        <f t="shared" si="0"/>
        <v>2024</v>
      </c>
      <c r="G16" s="10">
        <f t="shared" si="1"/>
        <v>8</v>
      </c>
    </row>
    <row r="17" spans="1:7" ht="29.4" thickBot="1" x14ac:dyDescent="0.35">
      <c r="A17" s="2">
        <v>3016</v>
      </c>
      <c r="B17" s="3" t="s">
        <v>90</v>
      </c>
      <c r="C17" s="3" t="s">
        <v>72</v>
      </c>
      <c r="D17" s="3">
        <v>114173</v>
      </c>
      <c r="E17" s="4">
        <v>45755</v>
      </c>
      <c r="F17" s="10">
        <f t="shared" si="0"/>
        <v>2025</v>
      </c>
      <c r="G17" s="10">
        <f t="shared" si="1"/>
        <v>4</v>
      </c>
    </row>
    <row r="18" spans="1:7" ht="29.4" thickBot="1" x14ac:dyDescent="0.35">
      <c r="A18" s="2">
        <v>3017</v>
      </c>
      <c r="B18" s="3" t="s">
        <v>91</v>
      </c>
      <c r="C18" s="3" t="s">
        <v>75</v>
      </c>
      <c r="D18" s="3">
        <v>86915</v>
      </c>
      <c r="E18" s="4">
        <v>46005</v>
      </c>
      <c r="F18" s="10">
        <f t="shared" si="0"/>
        <v>2025</v>
      </c>
      <c r="G18" s="10">
        <f t="shared" si="1"/>
        <v>12</v>
      </c>
    </row>
    <row r="19" spans="1:7" ht="29.4" thickBot="1" x14ac:dyDescent="0.35">
      <c r="A19" s="2">
        <v>3018</v>
      </c>
      <c r="B19" s="3" t="s">
        <v>92</v>
      </c>
      <c r="C19" s="3" t="s">
        <v>78</v>
      </c>
      <c r="D19" s="3">
        <v>116284</v>
      </c>
      <c r="E19" s="4">
        <v>46255</v>
      </c>
      <c r="F19" s="10">
        <f t="shared" si="0"/>
        <v>2026</v>
      </c>
      <c r="G19" s="10">
        <f t="shared" si="1"/>
        <v>8</v>
      </c>
    </row>
    <row r="20" spans="1:7" ht="29.4" thickBot="1" x14ac:dyDescent="0.35">
      <c r="A20" s="2">
        <v>3019</v>
      </c>
      <c r="B20" s="3" t="s">
        <v>93</v>
      </c>
      <c r="C20" s="3" t="s">
        <v>81</v>
      </c>
      <c r="D20" s="3">
        <v>116283</v>
      </c>
      <c r="E20" s="4">
        <v>46505</v>
      </c>
      <c r="F20" s="10">
        <f t="shared" si="0"/>
        <v>2027</v>
      </c>
      <c r="G20" s="10">
        <f t="shared" si="1"/>
        <v>4</v>
      </c>
    </row>
    <row r="21" spans="1:7" ht="29.4" thickBot="1" x14ac:dyDescent="0.35">
      <c r="A21" s="2">
        <v>3020</v>
      </c>
      <c r="B21" s="3" t="s">
        <v>94</v>
      </c>
      <c r="C21" s="3" t="s">
        <v>81</v>
      </c>
      <c r="D21" s="3">
        <v>99924</v>
      </c>
      <c r="E21" s="4">
        <v>46755</v>
      </c>
      <c r="F21" s="10">
        <f t="shared" si="0"/>
        <v>2028</v>
      </c>
      <c r="G21" s="10">
        <f t="shared" si="1"/>
        <v>1</v>
      </c>
    </row>
  </sheetData>
  <mergeCells count="1"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Anghan</dc:creator>
  <cp:lastModifiedBy>Harshil Prajapati</cp:lastModifiedBy>
  <dcterms:created xsi:type="dcterms:W3CDTF">2025-11-11T05:10:22Z</dcterms:created>
  <dcterms:modified xsi:type="dcterms:W3CDTF">2026-03-05T11:06:00Z</dcterms:modified>
</cp:coreProperties>
</file>